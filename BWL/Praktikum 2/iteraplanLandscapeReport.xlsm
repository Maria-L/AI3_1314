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vbaProjectSignature.bin" ContentType="application/vnd.ms-office.vbaProjectSignature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90" yWindow="60" windowWidth="22860" windowHeight="11055"/>
  </bookViews>
  <sheets>
    <sheet name="Schnittstellen" sheetId="1" r:id="rId1"/>
    <sheet name="Geschäftsobjekte" sheetId="2" r:id="rId2"/>
    <sheet name="Technische Bausteine" sheetId="3" r:id="rId3"/>
    <sheet name="ExcelTemplateSheet" sheetId="4" r:id="rId4"/>
  </sheets>
  <calcPr calcId="125725"/>
</workbook>
</file>

<file path=xl/calcChain.xml><?xml version="1.0" encoding="utf-8"?>
<calcChain xmlns="http://schemas.openxmlformats.org/spreadsheetml/2006/main">
  <c r="A5" i="1"/>
  <c r="A6"/>
  <c r="A7"/>
  <c r="A8"/>
  <c r="A9"/>
  <c r="A10"/>
  <c r="A11"/>
  <c r="A12"/>
  <c r="A5" i="2"/>
  <c r="A6"/>
  <c r="A7"/>
  <c r="A8"/>
  <c r="A9"/>
  <c r="A10"/>
  <c r="A11"/>
  <c r="A5" i="3"/>
  <c r="A6"/>
</calcChain>
</file>

<file path=xl/comments1.xml><?xml version="1.0" encoding="utf-8"?>
<comments xmlns="http://schemas.openxmlformats.org/spreadsheetml/2006/main">
  <authors>
    <author/>
  </authors>
  <commentList>
    <comment ref="M4" authorId="0">
      <text>
        <r>
          <rPr>
            <sz val="11"/>
            <color theme="1"/>
            <rFont val="Calibri"/>
            <family val="2"/>
            <scheme val="minor"/>
          </rPr>
          <t>Complexity of the professional scope, measured for a specific category e.g. _x000D_
 * Function Points _x000D_
 * Story Points _x000D_
 * Delphi Method</t>
        </r>
      </text>
    </comment>
    <comment ref="N4" authorId="0">
      <text>
        <r>
          <rPr>
            <sz val="11"/>
            <color theme="1"/>
            <rFont val="Calibri"/>
            <family val="2"/>
            <scheme val="minor"/>
          </rPr>
          <t>Degree of exchanging data automatically</t>
        </r>
      </text>
    </comment>
    <comment ref="O4" authorId="0">
      <text>
        <r>
          <rPr>
            <sz val="11"/>
            <color theme="1"/>
            <rFont val="Calibri"/>
            <family val="2"/>
            <scheme val="minor"/>
          </rPr>
          <t>Frequency of data exchange</t>
        </r>
      </text>
    </comment>
  </commentList>
</comments>
</file>

<file path=xl/comments2.xml><?xml version="1.0" encoding="utf-8"?>
<comments xmlns="http://schemas.openxmlformats.org/spreadsheetml/2006/main">
  <authors>
    <author/>
  </authors>
  <commentList>
    <comment ref="N4" authorId="0">
      <text>
        <r>
          <rPr>
            <sz val="11"/>
            <color theme="1"/>
            <rFont val="Calibri"/>
            <family val="2"/>
            <scheme val="minor"/>
          </rPr>
          <t>Accountable person(s)</t>
        </r>
      </text>
    </comment>
  </commentList>
</comments>
</file>

<file path=xl/comments3.xml><?xml version="1.0" encoding="utf-8"?>
<comments xmlns="http://schemas.openxmlformats.org/spreadsheetml/2006/main">
  <authors>
    <author/>
  </authors>
  <commentList>
    <comment ref="S4" authorId="0">
      <text>
        <r>
          <rPr>
            <sz val="11"/>
            <color theme="1"/>
            <rFont val="Calibri"/>
            <family val="2"/>
            <scheme val="minor"/>
          </rPr>
          <t>The company where this technical component has been created.</t>
        </r>
      </text>
    </comment>
    <comment ref="T4" authorId="0">
      <text>
        <r>
          <rPr>
            <sz val="11"/>
            <color theme="1"/>
            <rFont val="Calibri"/>
            <family val="2"/>
            <scheme val="minor"/>
          </rPr>
          <t>Accountable person(s)</t>
        </r>
      </text>
    </comment>
    <comment ref="U4" authorId="0">
      <text>
        <r>
          <rPr>
            <sz val="11"/>
            <color theme="1"/>
            <rFont val="Calibri"/>
            <family val="2"/>
            <scheme val="minor"/>
          </rPr>
          <t>Current state of a technical component, e.g. derived from other technical data such as number of defects.</t>
        </r>
      </text>
    </comment>
    <comment ref="V4" authorId="0">
      <text>
        <r>
          <rPr>
            <sz val="11"/>
            <color theme="1"/>
            <rFont val="Calibri"/>
            <family val="2"/>
            <scheme val="minor"/>
          </rPr>
          <t xml:space="preserve">Conformity of the building block in reference to Architecture-/Technology standards and guidelines._x000D_
</t>
        </r>
      </text>
    </comment>
  </commentList>
</comments>
</file>

<file path=xl/sharedStrings.xml><?xml version="1.0" encoding="utf-8"?>
<sst xmlns="http://schemas.openxmlformats.org/spreadsheetml/2006/main" count="289" uniqueCount="133">
  <si>
    <t>Font Style</t>
  </si>
  <si>
    <t>calibri</t>
  </si>
  <si>
    <t>Font Style Headers</t>
  </si>
  <si>
    <t>Hyperlink color</t>
  </si>
  <si>
    <t>blue</t>
  </si>
  <si>
    <t>Calibribold</t>
  </si>
  <si>
    <t>Date format</t>
  </si>
  <si>
    <t>Number format</t>
  </si>
  <si>
    <t>Default styles</t>
  </si>
  <si>
    <t>Locale</t>
  </si>
  <si>
    <t>Schnittstellen</t>
  </si>
  <si>
    <t>Id</t>
  </si>
  <si>
    <t>Informationssystem A</t>
  </si>
  <si>
    <t>Informationssystem B</t>
  </si>
  <si>
    <t>Name</t>
  </si>
  <si>
    <t>Flussrichtung</t>
  </si>
  <si>
    <t>Beschreibung</t>
  </si>
  <si>
    <t>Letzter Benutzer</t>
  </si>
  <si>
    <t>Letzte Änderung</t>
  </si>
  <si>
    <t>Abonnenten</t>
  </si>
  <si>
    <t>Transportierte Geschäftsobjekte</t>
  </si>
  <si>
    <t>Technische Bausteine</t>
  </si>
  <si>
    <t>#</t>
  </si>
  <si>
    <t>Complexity ([Default Attribute Group])</t>
  </si>
  <si>
    <t>Degree of automation ([Default Attribute Group])</t>
  </si>
  <si>
    <t>Data exchange ([Default Attribute Group])</t>
  </si>
  <si>
    <t>Callcenter # 3.2</t>
  </si>
  <si>
    <t>Securities tx system # 1.2</t>
  </si>
  <si>
    <t/>
  </si>
  <si>
    <t>'-&gt;</t>
  </si>
  <si>
    <t>XmiImport</t>
  </si>
  <si>
    <t>'-&gt; Invoice</t>
  </si>
  <si>
    <t>HTTP # 1.1</t>
  </si>
  <si>
    <t>high</t>
  </si>
  <si>
    <t>semi-automatically/ manually started</t>
  </si>
  <si>
    <t>Daily batch</t>
  </si>
  <si>
    <t>CRM # 3.1</t>
  </si>
  <si>
    <t>Cust. Data</t>
  </si>
  <si>
    <t xml:space="preserve">Submission of customer data
</t>
  </si>
  <si>
    <t>'-&gt; Customer</t>
  </si>
  <si>
    <t>Online</t>
  </si>
  <si>
    <t>CRM RB # 3.1</t>
  </si>
  <si>
    <t>manual</t>
  </si>
  <si>
    <t>DMS # 1.9</t>
  </si>
  <si>
    <t>Scanengine # 5.1</t>
  </si>
  <si>
    <t>Input DMS</t>
  </si>
  <si>
    <t>'&lt;-</t>
  </si>
  <si>
    <t xml:space="preserve">Insert the scanned documents into the DMS
</t>
  </si>
  <si>
    <t>'&lt;- Document</t>
  </si>
  <si>
    <t>DWH # 2.3</t>
  </si>
  <si>
    <t>RM # 1.0</t>
  </si>
  <si>
    <t>Transf. Risk data</t>
  </si>
  <si>
    <t xml:space="preserve">Provisioning of e.g. data about loan risk for risk management
</t>
  </si>
  <si>
    <t>'-&gt; Report</t>
  </si>
  <si>
    <t>HR # 2.3</t>
  </si>
  <si>
    <t>SAP Classic-P10 : SAP Fi-P10 # 6.0</t>
  </si>
  <si>
    <t>'&lt;-&gt;</t>
  </si>
  <si>
    <t>'-&gt; Employee;
'&lt;- Contract</t>
  </si>
  <si>
    <t>LDAP # 3.0</t>
  </si>
  <si>
    <t>Market Analysis</t>
  </si>
  <si>
    <t>ERP # 3.9</t>
  </si>
  <si>
    <t>MA for PP</t>
  </si>
  <si>
    <t>Findings from the market analysis are reported to the ERP system to perform optimal ressource planning for the project portfolio.</t>
  </si>
  <si>
    <t>Weekly batch</t>
  </si>
  <si>
    <t>PLM # 3.7</t>
  </si>
  <si>
    <t>Avail. Products</t>
  </si>
  <si>
    <t>Presentation of available products.</t>
  </si>
  <si>
    <t>'-&gt; Offer</t>
  </si>
  <si>
    <t>Geschäftsobjekte</t>
  </si>
  <si>
    <t>Geschäftsobjekte hierarchisch</t>
  </si>
  <si>
    <t>Spezialisierung</t>
  </si>
  <si>
    <t>Fachliche Domänen</t>
  </si>
  <si>
    <t>Fachliche Funktionen</t>
  </si>
  <si>
    <t>Informationssysteme</t>
  </si>
  <si>
    <t>Accountability ([Default Attribute Group])</t>
  </si>
  <si>
    <t>Contract</t>
  </si>
  <si>
    <t>Sales &amp; Marketing</t>
  </si>
  <si>
    <t>Order clearing;
Order execution</t>
  </si>
  <si>
    <t>Account-Sys RB # 3.1;
Deposits-Mgr # 2.0;
DMS # 1.9;
Doc archive # 2.0;
HR # 2.3;
HR # 4.0cloud;
Loan Mgmt # 1.6;
Securities tx system # 1.2</t>
  </si>
  <si>
    <t>HR # 2.3 &lt;-&gt; SAP Classic-P10 : SAP Fi-P10 # 6.0;
Insurance &amp; Contract Mgmt &lt;-&gt; DMS # 1.9</t>
  </si>
  <si>
    <t>joe</t>
  </si>
  <si>
    <t>Customer</t>
  </si>
  <si>
    <t xml:space="preserve">Customer data containing such information as name, postal address, email, telephone number etc. </t>
  </si>
  <si>
    <t>Operation &amp; Execution;
Operation &amp; Execution : Cash &amp; Liquidity Mgmt;
Operation &amp; Execution : Financing;
Operation &amp; Execution : Savings &amp; Investment;
Sales &amp; Marketing</t>
  </si>
  <si>
    <t>Clearing;
Exchange trade;
Marketing;
Order clearing</t>
  </si>
  <si>
    <t>Account-Sys RB # 3.1;
Callcenter # 3.2;
CRM # 3.1;
CRM # 3.2;
CRM RB # 3.1;
CRM RB # 3.2;
Solvency check # 1.0;
Solvency check # 1.1</t>
  </si>
  <si>
    <t>CRM # 3.1 -&gt; Callcenter # 3.2;
CRM # 3.1 -&gt; DWH # 2.3;
CRM # 3.1 &lt;-&gt; Solvency check # 1.0;
CRM RB # 3.1 -&gt; Callcenter # 3.2;
CRM RB # 3.1 &lt;-&gt; CRM # 3.1;
Loan Mgmt # 1.6 &lt;-&gt; Solvency check # 1.0</t>
  </si>
  <si>
    <t>Document</t>
  </si>
  <si>
    <t>Account stmt;
Contract;
Invoice;
Report;
Transfer voucher</t>
  </si>
  <si>
    <t>Bank Reporting &amp; Analytics;
Sales &amp; Marketing</t>
  </si>
  <si>
    <t>Decision support;
Marketing;
Order clearing;
Order execution;
Strategical dev</t>
  </si>
  <si>
    <t>CRM # 3.1 &lt;- DMS # 1.9;
DMS # 1.9 &lt;- Scanengine # 5.1;
DMS # 1.9 &lt;-&gt; Doc archive # 2.0</t>
  </si>
  <si>
    <t>max</t>
  </si>
  <si>
    <t>Employee</t>
  </si>
  <si>
    <t>Management</t>
  </si>
  <si>
    <t>HR # 2.3;
HR # 4.0cloud</t>
  </si>
  <si>
    <t>HR # 2.3 &lt;-&gt; SAP Classic-P10 : SAP Fi-P10 # 6.0;
Intranet # 2.0 &lt;-&gt; HR # 2.3</t>
  </si>
  <si>
    <t>Invoice</t>
  </si>
  <si>
    <t>Marketing</t>
  </si>
  <si>
    <t>DMS # 1.9;
Doc archive # 2.0;
Scanengine # 5.1</t>
  </si>
  <si>
    <t>Callcenter # 3.2 -&gt; Securities tx system # 1.2;
DMS # 1.9 -&gt; Securities tx system # 1.2;
Electronic banking # 2.3 -&gt; Securities tx system # 1.2</t>
  </si>
  <si>
    <t>sue</t>
  </si>
  <si>
    <t>Offer</t>
  </si>
  <si>
    <t>Homepage # 1.1</t>
  </si>
  <si>
    <t>PLM # 3.7 -&gt; Callcenter # 3.2;
PLM # 3.7 -&gt; Homepage # 1.1;
SAP RD-P20 -&gt; PLM # 3.7</t>
  </si>
  <si>
    <t>Report</t>
  </si>
  <si>
    <t>Bank Reporting &amp; Analytics</t>
  </si>
  <si>
    <t>Balance accounts;
Decision support;
Strategical dev</t>
  </si>
  <si>
    <t>DMS # 1.9;
Doc archive # 2.0</t>
  </si>
  <si>
    <t>BI # 1.0 &lt;- DWH # 2.3;
DWH # 2.3 -&gt; MIS # 1.2;
DWH # 2.3 -&gt; Registration # 3.0;
DWH # 2.3 -&gt; RM # 1.0;
DWH # 2.3 -&gt; Treasury # 1.0;
Market Analysis -&gt; ERP # 3.9;
Market Analysis -&gt; SAP RD-P20;
Registration # 3.0 -&gt; DMS # 1.9;
RM # 1.0 -&gt; DMS # 1.9;
RM # 1.0 -&gt; Registration # 3.0</t>
  </si>
  <si>
    <t>Vorgänger</t>
  </si>
  <si>
    <t>Nachfolger</t>
  </si>
  <si>
    <t>Produktiv von</t>
  </si>
  <si>
    <t>Produktiv bis</t>
  </si>
  <si>
    <t>Status</t>
  </si>
  <si>
    <t>Geeignet für Schnittstellen</t>
  </si>
  <si>
    <t>Verwendete Technische Bausteine</t>
  </si>
  <si>
    <t>Architekturdomänen</t>
  </si>
  <si>
    <t>Realisierte Informationssystem-Schnittstellen</t>
  </si>
  <si>
    <t>Infrastrukturelemente</t>
  </si>
  <si>
    <t>Manufacturer ([Default Attribute Group])</t>
  </si>
  <si>
    <t>Technical state of health (Strategic measurement categories)</t>
  </si>
  <si>
    <t>Compliance to guidelines (Strategic measurement categories)</t>
  </si>
  <si>
    <t>Ist</t>
  </si>
  <si>
    <t>Ja</t>
  </si>
  <si>
    <t>Protocol</t>
  </si>
  <si>
    <t>Callcenter # 3.2 &lt;=&gt; Securities tx system # 1.2;
CRM # 3.1 &lt;=&gt; Callcenter # 3.2;
Electronic banking # 2.3 &lt;=&gt; Securities tx system # 1.2;
Homepage # 1.1 &lt;=&gt; Electronic banking # 2.3</t>
  </si>
  <si>
    <t>good</t>
  </si>
  <si>
    <t>compliant</t>
  </si>
  <si>
    <t>DMS # 1.9;
Doc archive # 2.0;
HR # 4.0cloud;
Scanengine # 5.1</t>
  </si>
  <si>
    <t>HR # 2.3 &lt;=&gt; SAP Classic-P10 : SAP Fi-P10 # 6.0;
Intranet # 2.0 &lt;=&gt; HR # 2.3</t>
  </si>
  <si>
    <t>tom</t>
  </si>
  <si>
    <t>de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</si>
</sst>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b/>
      <sz val="14"/>
      <color indexed="8"/>
      <name val="Calibri"/>
      <family val="2"/>
    </font>
    <font>
      <sz val="11"/>
      <color indexed="30"/>
      <name val="Calibri"/>
      <family val="2"/>
    </font>
    <font>
      <b/>
      <sz val="12"/>
      <name val="Arial"/>
    </font>
    <font>
      <b/>
      <sz val="11"/>
      <name val="Arial"/>
    </font>
    <font>
      <u/>
      <sz val="10"/>
      <color indexed="12"/>
      <name val="Arial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2" borderId="0" xfId="0" applyFill="1"/>
    <xf numFmtId="0" fontId="1" fillId="3" borderId="1" xfId="0" applyFont="1" applyFill="1" applyBorder="1"/>
    <xf numFmtId="0" fontId="0" fillId="2" borderId="2" xfId="0" applyFill="1" applyBorder="1"/>
    <xf numFmtId="0" fontId="1" fillId="3" borderId="3" xfId="0" applyFont="1" applyFill="1" applyBorder="1"/>
    <xf numFmtId="0" fontId="2" fillId="2" borderId="4" xfId="0" applyFont="1" applyFill="1" applyBorder="1"/>
    <xf numFmtId="0" fontId="3" fillId="2" borderId="4" xfId="0" applyFont="1" applyFill="1" applyBorder="1"/>
    <xf numFmtId="2" fontId="0" fillId="2" borderId="4" xfId="0" applyNumberFormat="1" applyFill="1" applyBorder="1"/>
    <xf numFmtId="0" fontId="1" fillId="3" borderId="5" xfId="0" applyFont="1" applyFill="1" applyBorder="1"/>
    <xf numFmtId="14" fontId="0" fillId="2" borderId="6" xfId="0" applyNumberFormat="1" applyFill="1" applyBorder="1"/>
    <xf numFmtId="0" fontId="0" fillId="3" borderId="7" xfId="0" applyFill="1" applyBorder="1"/>
    <xf numFmtId="14" fontId="0" fillId="2" borderId="4" xfId="0" applyNumberFormat="1" applyFill="1" applyBorder="1"/>
    <xf numFmtId="0" fontId="4" fillId="0" borderId="0" xfId="0" applyFont="1"/>
    <xf numFmtId="0" fontId="5" fillId="0" borderId="0" xfId="0" applyFont="1"/>
    <xf numFmtId="14" fontId="0" fillId="0" borderId="0" xfId="0" applyNumberFormat="1" applyAlignment="1">
      <alignment horizontal="left" vertical="top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6" fillId="0" borderId="0" xfId="0" applyFont="1" applyAlignment="1">
      <alignment horizontal="left" vertical="top"/>
    </xf>
  </cellXfs>
  <cellStyles count="1">
    <cellStyle name="Standard" xfId="0" builtinId="0"/>
  </cellStyles>
  <dxfs count="0"/>
  <tableStyles count="0" defaultTableStyle="TableStyleMedium9" defaultPivotStyle="PivotStyleLight16"/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O12"/>
  <sheetViews>
    <sheetView tabSelected="1" zoomScale="75" workbookViewId="0"/>
  </sheetViews>
  <sheetFormatPr baseColWidth="10" defaultColWidth="22.85546875" defaultRowHeight="15"/>
  <cols>
    <col min="1" max="1" width="5.85546875" customWidth="1"/>
    <col min="4" max="6" width="46.85546875" customWidth="1"/>
  </cols>
  <sheetData>
    <row r="1" spans="1:15" ht="12.75" customHeight="1">
      <c r="B1" s="12" t="s">
        <v>10</v>
      </c>
    </row>
    <row r="4" spans="1:15" ht="12.75" customHeight="1">
      <c r="A4" s="13" t="s">
        <v>11</v>
      </c>
      <c r="B4" s="13" t="s">
        <v>12</v>
      </c>
      <c r="C4" s="13" t="s">
        <v>13</v>
      </c>
      <c r="D4" s="13" t="s">
        <v>14</v>
      </c>
      <c r="E4" s="13" t="s">
        <v>15</v>
      </c>
      <c r="F4" s="13" t="s">
        <v>16</v>
      </c>
      <c r="G4" s="13" t="s">
        <v>17</v>
      </c>
      <c r="H4" s="13" t="s">
        <v>18</v>
      </c>
      <c r="I4" s="13" t="s">
        <v>19</v>
      </c>
      <c r="J4" s="13" t="s">
        <v>20</v>
      </c>
      <c r="K4" s="13" t="s">
        <v>21</v>
      </c>
      <c r="L4" s="13" t="s">
        <v>22</v>
      </c>
      <c r="M4" s="13" t="s">
        <v>23</v>
      </c>
      <c r="N4" s="13" t="s">
        <v>24</v>
      </c>
      <c r="O4" s="13" t="s">
        <v>25</v>
      </c>
    </row>
    <row r="5" spans="1:15" ht="12.75" customHeight="1">
      <c r="A5" s="17">
        <f>HYPERLINK("http://localhost:8080/iteraplan/show/interface/253",253)</f>
        <v>253</v>
      </c>
      <c r="B5" s="15" t="s">
        <v>26</v>
      </c>
      <c r="C5" s="15" t="s">
        <v>27</v>
      </c>
      <c r="D5" s="15" t="s">
        <v>28</v>
      </c>
      <c r="E5" s="15" t="s">
        <v>29</v>
      </c>
      <c r="F5" s="15" t="s">
        <v>28</v>
      </c>
      <c r="G5" s="15" t="s">
        <v>30</v>
      </c>
      <c r="H5" s="14">
        <v>41298.585840636573</v>
      </c>
      <c r="I5" s="15" t="s">
        <v>28</v>
      </c>
      <c r="J5" s="15" t="s">
        <v>31</v>
      </c>
      <c r="K5" s="15" t="s">
        <v>32</v>
      </c>
      <c r="L5" s="15" t="s">
        <v>28</v>
      </c>
      <c r="M5" s="15" t="s">
        <v>33</v>
      </c>
      <c r="N5" s="15" t="s">
        <v>34</v>
      </c>
      <c r="O5" s="15" t="s">
        <v>35</v>
      </c>
    </row>
    <row r="6" spans="1:15" ht="12.75" customHeight="1">
      <c r="A6" s="17">
        <f>HYPERLINK("http://localhost:8080/iteraplan/show/interface/254",254)</f>
        <v>254</v>
      </c>
      <c r="B6" s="15" t="s">
        <v>36</v>
      </c>
      <c r="C6" s="15" t="s">
        <v>26</v>
      </c>
      <c r="D6" s="15" t="s">
        <v>37</v>
      </c>
      <c r="E6" s="15" t="s">
        <v>29</v>
      </c>
      <c r="F6" s="15" t="s">
        <v>38</v>
      </c>
      <c r="G6" s="15" t="s">
        <v>30</v>
      </c>
      <c r="H6" s="14">
        <v>41298.585840601852</v>
      </c>
      <c r="I6" s="15" t="s">
        <v>28</v>
      </c>
      <c r="J6" s="15" t="s">
        <v>39</v>
      </c>
      <c r="K6" s="15" t="s">
        <v>32</v>
      </c>
      <c r="L6" s="15" t="s">
        <v>28</v>
      </c>
      <c r="M6" s="15" t="s">
        <v>33</v>
      </c>
      <c r="N6" s="15" t="s">
        <v>34</v>
      </c>
      <c r="O6" s="15" t="s">
        <v>40</v>
      </c>
    </row>
    <row r="7" spans="1:15" ht="12.75" customHeight="1">
      <c r="A7" s="17">
        <f>HYPERLINK("http://localhost:8080/iteraplan/show/interface/259",259)</f>
        <v>259</v>
      </c>
      <c r="B7" s="15" t="s">
        <v>41</v>
      </c>
      <c r="C7" s="15" t="s">
        <v>26</v>
      </c>
      <c r="D7" s="15" t="s">
        <v>37</v>
      </c>
      <c r="E7" s="15" t="s">
        <v>29</v>
      </c>
      <c r="F7" s="15" t="s">
        <v>38</v>
      </c>
      <c r="G7" s="15" t="s">
        <v>30</v>
      </c>
      <c r="H7" s="14">
        <v>41298.585840590276</v>
      </c>
      <c r="I7" s="15" t="s">
        <v>28</v>
      </c>
      <c r="J7" s="15" t="s">
        <v>39</v>
      </c>
      <c r="K7" s="15" t="s">
        <v>28</v>
      </c>
      <c r="L7" s="15" t="s">
        <v>28</v>
      </c>
      <c r="M7" s="15" t="s">
        <v>33</v>
      </c>
      <c r="N7" s="15" t="s">
        <v>42</v>
      </c>
      <c r="O7" s="15" t="s">
        <v>40</v>
      </c>
    </row>
    <row r="8" spans="1:15" ht="12.75" customHeight="1">
      <c r="A8" s="17">
        <f>HYPERLINK("http://localhost:8080/iteraplan/show/interface/265",265)</f>
        <v>265</v>
      </c>
      <c r="B8" s="15" t="s">
        <v>43</v>
      </c>
      <c r="C8" s="15" t="s">
        <v>44</v>
      </c>
      <c r="D8" s="15" t="s">
        <v>45</v>
      </c>
      <c r="E8" s="15" t="s">
        <v>46</v>
      </c>
      <c r="F8" s="15" t="s">
        <v>47</v>
      </c>
      <c r="G8" s="15" t="s">
        <v>30</v>
      </c>
      <c r="H8" s="14">
        <v>41298.585840543979</v>
      </c>
      <c r="I8" s="15" t="s">
        <v>28</v>
      </c>
      <c r="J8" s="15" t="s">
        <v>48</v>
      </c>
      <c r="K8" s="15" t="s">
        <v>28</v>
      </c>
      <c r="L8" s="15" t="s">
        <v>28</v>
      </c>
      <c r="M8" s="15" t="s">
        <v>33</v>
      </c>
      <c r="N8" s="15" t="s">
        <v>34</v>
      </c>
      <c r="O8" s="15" t="s">
        <v>40</v>
      </c>
    </row>
    <row r="9" spans="1:15" ht="12.75" customHeight="1">
      <c r="A9" s="17">
        <f>HYPERLINK("http://localhost:8080/iteraplan/show/interface/269",269)</f>
        <v>269</v>
      </c>
      <c r="B9" s="15" t="s">
        <v>49</v>
      </c>
      <c r="C9" s="15" t="s">
        <v>50</v>
      </c>
      <c r="D9" s="15" t="s">
        <v>51</v>
      </c>
      <c r="E9" s="15" t="s">
        <v>29</v>
      </c>
      <c r="F9" s="15" t="s">
        <v>52</v>
      </c>
      <c r="G9" s="15" t="s">
        <v>30</v>
      </c>
      <c r="H9" s="14">
        <v>41298.585840532411</v>
      </c>
      <c r="I9" s="15" t="s">
        <v>28</v>
      </c>
      <c r="J9" s="15" t="s">
        <v>53</v>
      </c>
      <c r="K9" s="15" t="s">
        <v>28</v>
      </c>
      <c r="L9" s="15" t="s">
        <v>28</v>
      </c>
      <c r="M9" s="15" t="s">
        <v>33</v>
      </c>
      <c r="N9" s="15" t="s">
        <v>34</v>
      </c>
      <c r="O9" s="15" t="s">
        <v>40</v>
      </c>
    </row>
    <row r="10" spans="1:15" ht="12.75" customHeight="1">
      <c r="A10" s="17">
        <f>HYPERLINK("http://localhost:8080/iteraplan/show/interface/275",275)</f>
        <v>275</v>
      </c>
      <c r="B10" s="15" t="s">
        <v>54</v>
      </c>
      <c r="C10" s="15" t="s">
        <v>55</v>
      </c>
      <c r="D10" s="15" t="s">
        <v>28</v>
      </c>
      <c r="E10" s="15" t="s">
        <v>56</v>
      </c>
      <c r="F10" s="15" t="s">
        <v>28</v>
      </c>
      <c r="G10" s="15" t="s">
        <v>30</v>
      </c>
      <c r="H10" s="14">
        <v>41298.5858405787</v>
      </c>
      <c r="I10" s="15" t="s">
        <v>28</v>
      </c>
      <c r="J10" s="15" t="s">
        <v>57</v>
      </c>
      <c r="K10" s="15" t="s">
        <v>58</v>
      </c>
      <c r="L10" s="15" t="s">
        <v>28</v>
      </c>
      <c r="M10" s="15" t="s">
        <v>33</v>
      </c>
      <c r="N10" s="15" t="s">
        <v>34</v>
      </c>
      <c r="O10" s="15" t="s">
        <v>40</v>
      </c>
    </row>
    <row r="11" spans="1:15" ht="12.75" customHeight="1">
      <c r="A11" s="17">
        <f>HYPERLINK("http://localhost:8080/iteraplan/show/interface/281",281)</f>
        <v>281</v>
      </c>
      <c r="B11" s="15" t="s">
        <v>59</v>
      </c>
      <c r="C11" s="15" t="s">
        <v>60</v>
      </c>
      <c r="D11" s="15" t="s">
        <v>61</v>
      </c>
      <c r="E11" s="15" t="s">
        <v>29</v>
      </c>
      <c r="F11" s="15" t="s">
        <v>62</v>
      </c>
      <c r="G11" s="15" t="s">
        <v>30</v>
      </c>
      <c r="H11" s="14">
        <v>41298.585840590276</v>
      </c>
      <c r="I11" s="15" t="s">
        <v>28</v>
      </c>
      <c r="J11" s="15" t="s">
        <v>53</v>
      </c>
      <c r="K11" s="15" t="s">
        <v>28</v>
      </c>
      <c r="L11" s="15" t="s">
        <v>28</v>
      </c>
      <c r="M11" s="15" t="s">
        <v>33</v>
      </c>
      <c r="N11" s="15" t="s">
        <v>34</v>
      </c>
      <c r="O11" s="15" t="s">
        <v>63</v>
      </c>
    </row>
    <row r="12" spans="1:15" ht="12.75" customHeight="1">
      <c r="A12" s="17">
        <f>HYPERLINK("http://localhost:8080/iteraplan/show/interface/285",285)</f>
        <v>285</v>
      </c>
      <c r="B12" s="15" t="s">
        <v>64</v>
      </c>
      <c r="C12" s="15" t="s">
        <v>26</v>
      </c>
      <c r="D12" s="15" t="s">
        <v>65</v>
      </c>
      <c r="E12" s="15" t="s">
        <v>29</v>
      </c>
      <c r="F12" s="15" t="s">
        <v>66</v>
      </c>
      <c r="G12" s="15" t="s">
        <v>30</v>
      </c>
      <c r="H12" s="14">
        <v>41298.585840636573</v>
      </c>
      <c r="I12" s="15" t="s">
        <v>28</v>
      </c>
      <c r="J12" s="15" t="s">
        <v>67</v>
      </c>
      <c r="K12" s="15" t="s">
        <v>28</v>
      </c>
      <c r="L12" s="15" t="s">
        <v>28</v>
      </c>
      <c r="M12" s="15" t="s">
        <v>33</v>
      </c>
      <c r="N12" s="15" t="s">
        <v>34</v>
      </c>
      <c r="O12" s="15" t="s">
        <v>40</v>
      </c>
    </row>
  </sheetData>
  <pageMargins left="0.78740157499999996" right="0.78740157499999996" top="0.984251969" bottom="0.984251969" header="0.5" footer="0.5"/>
  <pageSetup orientation="portrait" horizontalDpi="300" verticalDpi="300"/>
  <headerFooter alignWithMargins="0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N11"/>
  <sheetViews>
    <sheetView zoomScale="75" workbookViewId="0"/>
  </sheetViews>
  <sheetFormatPr baseColWidth="10" defaultColWidth="22.85546875" defaultRowHeight="15"/>
  <cols>
    <col min="1" max="1" width="5.85546875" customWidth="1"/>
    <col min="2" max="4" width="46.85546875" customWidth="1"/>
  </cols>
  <sheetData>
    <row r="1" spans="1:14" ht="12.75" customHeight="1">
      <c r="B1" s="12" t="s">
        <v>68</v>
      </c>
    </row>
    <row r="4" spans="1:14" ht="12.75" customHeight="1">
      <c r="A4" s="13" t="s">
        <v>11</v>
      </c>
      <c r="B4" s="13" t="s">
        <v>68</v>
      </c>
      <c r="C4" s="13" t="s">
        <v>69</v>
      </c>
      <c r="D4" s="13" t="s">
        <v>16</v>
      </c>
      <c r="E4" s="13" t="s">
        <v>70</v>
      </c>
      <c r="F4" s="13" t="s">
        <v>17</v>
      </c>
      <c r="G4" s="13" t="s">
        <v>18</v>
      </c>
      <c r="H4" s="13" t="s">
        <v>19</v>
      </c>
      <c r="I4" s="13" t="s">
        <v>71</v>
      </c>
      <c r="J4" s="13" t="s">
        <v>72</v>
      </c>
      <c r="K4" s="13" t="s">
        <v>73</v>
      </c>
      <c r="L4" s="13" t="s">
        <v>10</v>
      </c>
      <c r="M4" s="13" t="s">
        <v>22</v>
      </c>
      <c r="N4" s="13" t="s">
        <v>74</v>
      </c>
    </row>
    <row r="5" spans="1:14" ht="12.75" customHeight="1">
      <c r="A5" s="17">
        <f>HYPERLINK("http://localhost:8080/iteraplan/show/businessobject/17",17)</f>
        <v>17</v>
      </c>
      <c r="B5" s="15" t="s">
        <v>75</v>
      </c>
      <c r="C5" s="15" t="s">
        <v>75</v>
      </c>
      <c r="D5" s="15" t="s">
        <v>28</v>
      </c>
      <c r="E5" s="15" t="s">
        <v>28</v>
      </c>
      <c r="F5" s="15" t="s">
        <v>30</v>
      </c>
      <c r="G5" s="14">
        <v>41298.5856599537</v>
      </c>
      <c r="H5" s="15" t="s">
        <v>28</v>
      </c>
      <c r="I5" s="15" t="s">
        <v>76</v>
      </c>
      <c r="J5" s="15" t="s">
        <v>77</v>
      </c>
      <c r="K5" s="15" t="s">
        <v>78</v>
      </c>
      <c r="L5" s="15" t="s">
        <v>79</v>
      </c>
      <c r="M5" s="15" t="s">
        <v>28</v>
      </c>
      <c r="N5" s="15" t="s">
        <v>80</v>
      </c>
    </row>
    <row r="6" spans="1:14" ht="12.75" customHeight="1">
      <c r="A6" s="17">
        <f>HYPERLINK("http://localhost:8080/iteraplan/show/businessobject/10",10)</f>
        <v>10</v>
      </c>
      <c r="B6" s="15" t="s">
        <v>81</v>
      </c>
      <c r="C6" s="15" t="s">
        <v>81</v>
      </c>
      <c r="D6" s="15" t="s">
        <v>82</v>
      </c>
      <c r="E6" s="15" t="s">
        <v>28</v>
      </c>
      <c r="F6" s="15" t="s">
        <v>30</v>
      </c>
      <c r="G6" s="14">
        <v>41298.585652291666</v>
      </c>
      <c r="H6" s="15" t="s">
        <v>28</v>
      </c>
      <c r="I6" s="15" t="s">
        <v>83</v>
      </c>
      <c r="J6" s="15" t="s">
        <v>84</v>
      </c>
      <c r="K6" s="15" t="s">
        <v>85</v>
      </c>
      <c r="L6" s="15" t="s">
        <v>86</v>
      </c>
      <c r="M6" s="15" t="s">
        <v>28</v>
      </c>
      <c r="N6" s="15" t="s">
        <v>80</v>
      </c>
    </row>
    <row r="7" spans="1:14" ht="12.75" customHeight="1">
      <c r="A7" s="17">
        <f>HYPERLINK("http://localhost:8080/iteraplan/show/businessobject/11",11)</f>
        <v>11</v>
      </c>
      <c r="B7" s="15" t="s">
        <v>87</v>
      </c>
      <c r="C7" s="15" t="s">
        <v>87</v>
      </c>
      <c r="D7" s="15" t="s">
        <v>28</v>
      </c>
      <c r="E7" s="15" t="s">
        <v>88</v>
      </c>
      <c r="F7" s="15" t="s">
        <v>30</v>
      </c>
      <c r="G7" s="14">
        <v>41298.585653275462</v>
      </c>
      <c r="H7" s="15" t="s">
        <v>28</v>
      </c>
      <c r="I7" s="15" t="s">
        <v>89</v>
      </c>
      <c r="J7" s="15" t="s">
        <v>90</v>
      </c>
      <c r="K7" s="15" t="s">
        <v>28</v>
      </c>
      <c r="L7" s="15" t="s">
        <v>91</v>
      </c>
      <c r="M7" s="15" t="s">
        <v>28</v>
      </c>
      <c r="N7" s="15" t="s">
        <v>92</v>
      </c>
    </row>
    <row r="8" spans="1:14" ht="12.75" customHeight="1">
      <c r="A8" s="17">
        <f>HYPERLINK("http://localhost:8080/iteraplan/show/businessobject/16",16)</f>
        <v>16</v>
      </c>
      <c r="B8" s="15" t="s">
        <v>93</v>
      </c>
      <c r="C8" s="15" t="s">
        <v>93</v>
      </c>
      <c r="D8" s="15" t="s">
        <v>28</v>
      </c>
      <c r="E8" s="15" t="s">
        <v>28</v>
      </c>
      <c r="F8" s="15" t="s">
        <v>30</v>
      </c>
      <c r="G8" s="14">
        <v>41298.585659004631</v>
      </c>
      <c r="H8" s="15" t="s">
        <v>28</v>
      </c>
      <c r="I8" s="15" t="s">
        <v>94</v>
      </c>
      <c r="J8" s="15" t="s">
        <v>28</v>
      </c>
      <c r="K8" s="15" t="s">
        <v>95</v>
      </c>
      <c r="L8" s="15" t="s">
        <v>96</v>
      </c>
      <c r="M8" s="15" t="s">
        <v>28</v>
      </c>
      <c r="N8" s="15" t="s">
        <v>92</v>
      </c>
    </row>
    <row r="9" spans="1:14" ht="12.75" customHeight="1">
      <c r="A9" s="17">
        <f>HYPERLINK("http://localhost:8080/iteraplan/show/businessobject/7",7)</f>
        <v>7</v>
      </c>
      <c r="B9" s="15" t="s">
        <v>97</v>
      </c>
      <c r="C9" s="15" t="s">
        <v>97</v>
      </c>
      <c r="D9" s="15" t="s">
        <v>28</v>
      </c>
      <c r="E9" s="15" t="s">
        <v>28</v>
      </c>
      <c r="F9" s="15" t="s">
        <v>30</v>
      </c>
      <c r="G9" s="14">
        <v>41298.58564928241</v>
      </c>
      <c r="H9" s="15" t="s">
        <v>28</v>
      </c>
      <c r="I9" s="15" t="s">
        <v>76</v>
      </c>
      <c r="J9" s="15" t="s">
        <v>98</v>
      </c>
      <c r="K9" s="15" t="s">
        <v>99</v>
      </c>
      <c r="L9" s="15" t="s">
        <v>100</v>
      </c>
      <c r="M9" s="15" t="s">
        <v>28</v>
      </c>
      <c r="N9" s="15" t="s">
        <v>101</v>
      </c>
    </row>
    <row r="10" spans="1:14" ht="12.75" customHeight="1">
      <c r="A10" s="17">
        <f>HYPERLINK("http://localhost:8080/iteraplan/show/businessobject/21",21)</f>
        <v>21</v>
      </c>
      <c r="B10" s="15" t="s">
        <v>102</v>
      </c>
      <c r="C10" s="15" t="s">
        <v>102</v>
      </c>
      <c r="D10" s="15" t="s">
        <v>28</v>
      </c>
      <c r="E10" s="15" t="s">
        <v>28</v>
      </c>
      <c r="F10" s="15" t="s">
        <v>30</v>
      </c>
      <c r="G10" s="14">
        <v>41298.585663692131</v>
      </c>
      <c r="H10" s="15" t="s">
        <v>28</v>
      </c>
      <c r="I10" s="15" t="s">
        <v>76</v>
      </c>
      <c r="J10" s="15" t="s">
        <v>28</v>
      </c>
      <c r="K10" s="15" t="s">
        <v>103</v>
      </c>
      <c r="L10" s="15" t="s">
        <v>104</v>
      </c>
      <c r="M10" s="15" t="s">
        <v>28</v>
      </c>
      <c r="N10" s="15" t="s">
        <v>92</v>
      </c>
    </row>
    <row r="11" spans="1:14" ht="12.75" customHeight="1">
      <c r="A11" s="17">
        <f>HYPERLINK("http://localhost:8080/iteraplan/show/businessobject/2",2)</f>
        <v>2</v>
      </c>
      <c r="B11" s="15" t="s">
        <v>105</v>
      </c>
      <c r="C11" s="15" t="s">
        <v>105</v>
      </c>
      <c r="D11" s="15" t="s">
        <v>28</v>
      </c>
      <c r="E11" s="15" t="s">
        <v>28</v>
      </c>
      <c r="F11" s="15" t="s">
        <v>30</v>
      </c>
      <c r="G11" s="14">
        <v>41298.585643449071</v>
      </c>
      <c r="H11" s="15" t="s">
        <v>28</v>
      </c>
      <c r="I11" s="15" t="s">
        <v>106</v>
      </c>
      <c r="J11" s="15" t="s">
        <v>107</v>
      </c>
      <c r="K11" s="15" t="s">
        <v>108</v>
      </c>
      <c r="L11" s="15" t="s">
        <v>109</v>
      </c>
      <c r="M11" s="15" t="s">
        <v>28</v>
      </c>
      <c r="N11" s="15" t="s">
        <v>92</v>
      </c>
    </row>
  </sheetData>
  <pageMargins left="0.78740157499999996" right="0.78740157499999996" top="0.984251969" bottom="0.984251969" header="0.5" footer="0.5"/>
  <pageSetup orientation="portrait" horizontalDpi="300" verticalDpi="300"/>
  <headerFooter alignWithMargins="0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V6"/>
  <sheetViews>
    <sheetView zoomScale="75" workbookViewId="0"/>
  </sheetViews>
  <sheetFormatPr baseColWidth="10" defaultColWidth="22.85546875" defaultRowHeight="15"/>
  <cols>
    <col min="1" max="1" width="5.85546875" customWidth="1"/>
    <col min="2" max="2" width="46.85546875" customWidth="1"/>
    <col min="5" max="5" width="46.85546875" customWidth="1"/>
  </cols>
  <sheetData>
    <row r="1" spans="1:22" ht="12.75" customHeight="1">
      <c r="B1" s="12" t="s">
        <v>21</v>
      </c>
    </row>
    <row r="4" spans="1:22" ht="12.75" customHeight="1">
      <c r="A4" s="13" t="s">
        <v>11</v>
      </c>
      <c r="B4" s="13" t="s">
        <v>21</v>
      </c>
      <c r="C4" s="13" t="s">
        <v>110</v>
      </c>
      <c r="D4" s="13" t="s">
        <v>111</v>
      </c>
      <c r="E4" s="13" t="s">
        <v>16</v>
      </c>
      <c r="F4" s="13" t="s">
        <v>112</v>
      </c>
      <c r="G4" s="13" t="s">
        <v>113</v>
      </c>
      <c r="H4" s="13" t="s">
        <v>114</v>
      </c>
      <c r="I4" s="13" t="s">
        <v>115</v>
      </c>
      <c r="J4" s="13" t="s">
        <v>17</v>
      </c>
      <c r="K4" s="13" t="s">
        <v>18</v>
      </c>
      <c r="L4" s="13" t="s">
        <v>19</v>
      </c>
      <c r="M4" s="13" t="s">
        <v>116</v>
      </c>
      <c r="N4" s="13" t="s">
        <v>117</v>
      </c>
      <c r="O4" s="13" t="s">
        <v>73</v>
      </c>
      <c r="P4" s="13" t="s">
        <v>118</v>
      </c>
      <c r="Q4" s="13" t="s">
        <v>119</v>
      </c>
      <c r="R4" s="13" t="s">
        <v>22</v>
      </c>
      <c r="S4" s="13" t="s">
        <v>120</v>
      </c>
      <c r="T4" s="13" t="s">
        <v>74</v>
      </c>
      <c r="U4" s="13" t="s">
        <v>121</v>
      </c>
      <c r="V4" s="13" t="s">
        <v>122</v>
      </c>
    </row>
    <row r="5" spans="1:22" ht="12.75" customHeight="1">
      <c r="A5" s="17">
        <f>HYPERLINK("http://localhost:8080/iteraplan/show/technicalcomponent/307",307)</f>
        <v>307</v>
      </c>
      <c r="B5" s="15" t="s">
        <v>32</v>
      </c>
      <c r="C5" s="15" t="s">
        <v>28</v>
      </c>
      <c r="D5" s="15" t="s">
        <v>28</v>
      </c>
      <c r="E5" s="15" t="s">
        <v>28</v>
      </c>
      <c r="F5" s="16" t="s">
        <v>28</v>
      </c>
      <c r="G5" s="16" t="s">
        <v>28</v>
      </c>
      <c r="H5" s="15" t="s">
        <v>123</v>
      </c>
      <c r="I5" s="15" t="s">
        <v>124</v>
      </c>
      <c r="J5" s="15" t="s">
        <v>30</v>
      </c>
      <c r="K5" s="14">
        <v>41298.585870358795</v>
      </c>
      <c r="L5" s="15" t="s">
        <v>28</v>
      </c>
      <c r="M5" s="15" t="s">
        <v>28</v>
      </c>
      <c r="N5" s="15" t="s">
        <v>125</v>
      </c>
      <c r="O5" s="15" t="s">
        <v>28</v>
      </c>
      <c r="P5" s="15" t="s">
        <v>126</v>
      </c>
      <c r="Q5" s="15" t="s">
        <v>28</v>
      </c>
      <c r="R5" s="15" t="s">
        <v>28</v>
      </c>
      <c r="U5" s="15" t="s">
        <v>127</v>
      </c>
      <c r="V5" s="15" t="s">
        <v>128</v>
      </c>
    </row>
    <row r="6" spans="1:22" ht="12.75" customHeight="1">
      <c r="A6" s="17">
        <f>HYPERLINK("http://localhost:8080/iteraplan/show/technicalcomponent/314",314)</f>
        <v>314</v>
      </c>
      <c r="B6" s="15" t="s">
        <v>58</v>
      </c>
      <c r="C6" s="15" t="s">
        <v>28</v>
      </c>
      <c r="D6" s="15" t="s">
        <v>28</v>
      </c>
      <c r="E6" s="15" t="s">
        <v>28</v>
      </c>
      <c r="F6" s="14">
        <v>40372</v>
      </c>
      <c r="G6" s="16" t="s">
        <v>28</v>
      </c>
      <c r="H6" s="15" t="s">
        <v>123</v>
      </c>
      <c r="I6" s="15" t="s">
        <v>124</v>
      </c>
      <c r="J6" s="15" t="s">
        <v>30</v>
      </c>
      <c r="K6" s="14">
        <v>41298.585847905095</v>
      </c>
      <c r="L6" s="15" t="s">
        <v>28</v>
      </c>
      <c r="M6" s="15" t="s">
        <v>28</v>
      </c>
      <c r="N6" s="15" t="s">
        <v>125</v>
      </c>
      <c r="O6" s="15" t="s">
        <v>129</v>
      </c>
      <c r="P6" s="15" t="s">
        <v>130</v>
      </c>
      <c r="Q6" s="15" t="s">
        <v>28</v>
      </c>
      <c r="R6" s="15" t="s">
        <v>28</v>
      </c>
      <c r="T6" s="15" t="s">
        <v>131</v>
      </c>
      <c r="U6" s="15" t="s">
        <v>127</v>
      </c>
      <c r="V6" s="15" t="s">
        <v>128</v>
      </c>
    </row>
  </sheetData>
  <pageMargins left="0.78740157499999996" right="0.78740157499999996" top="0.984251969" bottom="0.984251969" header="0.5" footer="0.5"/>
  <pageSetup orientation="portrait" horizontalDpi="300" verticalDpi="300"/>
  <headerFooter alignWithMargins="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B7"/>
  <sheetViews>
    <sheetView workbookViewId="0">
      <selection activeCell="B7" sqref="B7"/>
    </sheetView>
  </sheetViews>
  <sheetFormatPr baseColWidth="10" defaultColWidth="8.85546875" defaultRowHeight="15"/>
  <cols>
    <col min="1" max="1" width="16.28515625" bestFit="1" customWidth="1"/>
    <col min="2" max="2" width="12.28515625" bestFit="1" customWidth="1"/>
  </cols>
  <sheetData>
    <row r="1" spans="1:2" ht="15.75" thickBot="1">
      <c r="A1" s="10" t="s">
        <v>8</v>
      </c>
      <c r="B1" s="1"/>
    </row>
    <row r="2" spans="1:2">
      <c r="A2" s="2" t="s">
        <v>0</v>
      </c>
      <c r="B2" s="3" t="s">
        <v>1</v>
      </c>
    </row>
    <row r="3" spans="1:2" ht="18.75">
      <c r="A3" s="4" t="s">
        <v>2</v>
      </c>
      <c r="B3" s="5" t="s">
        <v>5</v>
      </c>
    </row>
    <row r="4" spans="1:2">
      <c r="A4" s="4" t="s">
        <v>3</v>
      </c>
      <c r="B4" s="6" t="s">
        <v>4</v>
      </c>
    </row>
    <row r="5" spans="1:2">
      <c r="A5" s="4" t="s">
        <v>7</v>
      </c>
      <c r="B5" s="7">
        <v>3</v>
      </c>
    </row>
    <row r="6" spans="1:2">
      <c r="A6" s="4" t="s">
        <v>6</v>
      </c>
      <c r="B6" s="11">
        <v>40544</v>
      </c>
    </row>
    <row r="7" spans="1:2" ht="15.75" thickBot="1">
      <c r="A7" s="8" t="s">
        <v>9</v>
      </c>
      <c r="B7" s="9" t="s">
        <v>132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Schnittstellen</vt:lpstr>
      <vt:lpstr>Geschäftsobjekte</vt:lpstr>
      <vt:lpstr>Technische Bausteine</vt:lpstr>
      <vt:lpstr>ExcelTemplateSheet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Garcia</dc:creator>
  <cp:lastModifiedBy>abl128</cp:lastModifiedBy>
  <dcterms:created xsi:type="dcterms:W3CDTF">2010-07-14T12:15:48Z</dcterms:created>
  <dcterms:modified xsi:type="dcterms:W3CDTF">2013-11-07T07:51:39Z</dcterms:modified>
</cp:coreProperties>
</file>